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P\Documents\_Educacao\DIO\Excel+IA\Tarefa_01\"/>
    </mc:Choice>
  </mc:AlternateContent>
  <xr:revisionPtr revIDLastSave="0" documentId="13_ncr:1_{4580EE92-9A0C-468F-A6B9-030CC9E9C2B2}" xr6:coauthVersionLast="47" xr6:coauthVersionMax="47" xr10:uidLastSave="{00000000-0000-0000-0000-000000000000}"/>
  <bookViews>
    <workbookView showSheetTabs="0" xWindow="-120" yWindow="-120" windowWidth="29040" windowHeight="16440" xr2:uid="{00000000-000D-0000-FFFF-FFFF00000000}"/>
  </bookViews>
  <sheets>
    <sheet name="Simulador" sheetId="1" r:id="rId1"/>
    <sheet name="Informações" sheetId="3" r:id="rId2"/>
    <sheet name="Tabelas_aux" sheetId="2" r:id="rId3"/>
  </sheets>
  <definedNames>
    <definedName name="_xlchart.v1.0" hidden="1">Simulador!$C$40:$C$45</definedName>
    <definedName name="_xlchart.v1.1" hidden="1">Simulador!$D$39</definedName>
    <definedName name="_xlchart.v1.2" hidden="1">Simulador!$D$40:$D$45</definedName>
    <definedName name="aporte">Simulador!$D$20</definedName>
    <definedName name="patrimonio">Simulador!$D$35</definedName>
    <definedName name="perfil">Simulador!$E$9</definedName>
    <definedName name="qtd_anos">Simulador!$E$10</definedName>
    <definedName name="salario">Simulador!$E$8</definedName>
    <definedName name="taxa_mensal">Simulador!$E$11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5" i="1" l="1"/>
  <c r="C35" i="1"/>
  <c r="A41" i="1" l="1"/>
  <c r="D41" i="1" s="1"/>
  <c r="E41" i="1" s="1"/>
  <c r="A42" i="1"/>
  <c r="D42" i="1" s="1"/>
  <c r="E42" i="1" s="1"/>
  <c r="A43" i="1"/>
  <c r="D43" i="1" s="1"/>
  <c r="E43" i="1" s="1"/>
  <c r="A44" i="1"/>
  <c r="D44" i="1" s="1"/>
  <c r="E44" i="1" s="1"/>
  <c r="A45" i="1"/>
  <c r="D45" i="1" s="1"/>
  <c r="E45" i="1" s="1"/>
  <c r="A40" i="1"/>
  <c r="D40" i="1" s="1"/>
  <c r="E40" i="1" s="1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B20" i="2"/>
  <c r="I19" i="2"/>
  <c r="B19" i="2"/>
  <c r="I18" i="2"/>
  <c r="B18" i="2"/>
  <c r="I17" i="2"/>
  <c r="B17" i="2"/>
  <c r="I16" i="2"/>
  <c r="B16" i="2"/>
  <c r="I15" i="2"/>
  <c r="B15" i="2"/>
  <c r="I14" i="2"/>
  <c r="B14" i="2"/>
  <c r="I13" i="2"/>
  <c r="B13" i="2"/>
  <c r="I12" i="2"/>
  <c r="B12" i="2"/>
  <c r="I11" i="2"/>
  <c r="B11" i="2"/>
  <c r="I10" i="2"/>
  <c r="B10" i="2"/>
  <c r="I9" i="2"/>
  <c r="B9" i="2"/>
  <c r="I8" i="2"/>
  <c r="B8" i="2"/>
  <c r="I7" i="2"/>
  <c r="B7" i="2"/>
  <c r="I6" i="2"/>
  <c r="H6" i="2"/>
  <c r="B6" i="2"/>
  <c r="I5" i="2"/>
  <c r="B5" i="2"/>
  <c r="I4" i="2"/>
  <c r="H4" i="2"/>
  <c r="B4" i="2"/>
  <c r="I3" i="2"/>
  <c r="B3" i="2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C15" i="1"/>
  <c r="E11" i="1"/>
  <c r="D35" i="1" s="1"/>
  <c r="H35" i="1" s="1"/>
</calcChain>
</file>

<file path=xl/sharedStrings.xml><?xml version="1.0" encoding="utf-8"?>
<sst xmlns="http://schemas.openxmlformats.org/spreadsheetml/2006/main" count="99" uniqueCount="65">
  <si>
    <t>Salário</t>
  </si>
  <si>
    <t xml:space="preserve"> Cenários</t>
  </si>
  <si>
    <t>PERFIL</t>
  </si>
  <si>
    <t>Moderado</t>
  </si>
  <si>
    <t>TIPO DE FII</t>
  </si>
  <si>
    <t>Percentual Sugerido</t>
  </si>
  <si>
    <t>Valores</t>
  </si>
  <si>
    <t>FOFs</t>
  </si>
  <si>
    <t>CHAVE</t>
  </si>
  <si>
    <t>%</t>
  </si>
  <si>
    <t>Conservador</t>
  </si>
  <si>
    <t>Agressivo</t>
  </si>
  <si>
    <t>Perfil de Investidor</t>
  </si>
  <si>
    <t>Simulador de Investimentos ®</t>
  </si>
  <si>
    <t>Anos</t>
  </si>
  <si>
    <t>Yield_Anual</t>
  </si>
  <si>
    <t>Yield_Mensal</t>
  </si>
  <si>
    <t>Rendimento Mensal Estimado da Carteira *</t>
  </si>
  <si>
    <t>Período </t>
  </si>
  <si>
    <t>Rendimento Anual Médio (Aprox.)</t>
  </si>
  <si>
    <t>Observação</t>
  </si>
  <si>
    <t>1 ano (2024-2025)</t>
  </si>
  <si>
    <t>~18,64%</t>
  </si>
  <si>
    <t>Reflete a forte recuperação e recordes do setor em 2025.</t>
  </si>
  <si>
    <t>3 anos</t>
  </si>
  <si>
    <t>~12% a 15%</t>
  </si>
  <si>
    <t>Impulsionado pelo fechamento da curva de juros e dividendos elevados.</t>
  </si>
  <si>
    <t>5 anos</t>
  </si>
  <si>
    <t>~8% a 10%</t>
  </si>
  <si>
    <t>Período que inclui a volatilidade da pandemia e ciclo de alta da Selic.</t>
  </si>
  <si>
    <t>10 anos</t>
  </si>
  <si>
    <t>~10% a 11%</t>
  </si>
  <si>
    <t>Média histórica consolidada do IFIX (retorno total).</t>
  </si>
  <si>
    <t>15 anos</t>
  </si>
  <si>
    <t>~10,5%</t>
  </si>
  <si>
    <t>Estimativa baseada no início do IFIX (2010).</t>
  </si>
  <si>
    <t>20, 25, 30 anos</t>
  </si>
  <si>
    <t>Inexistente</t>
  </si>
  <si>
    <t>O índice não existia. Antes de 2010, o mercado era restrito e sem métrica oficial.</t>
  </si>
  <si>
    <t>Por quantos anos pretende investir (de 1 a 40)</t>
  </si>
  <si>
    <t>Tipos de Fundos Imobiliários - FIIs</t>
  </si>
  <si>
    <t>FIIs de Papel</t>
  </si>
  <si>
    <t>FIIs de Tijolo</t>
  </si>
  <si>
    <t>FIIs Híbridos</t>
  </si>
  <si>
    <t>FIIs de Desenvolvimento</t>
  </si>
  <si>
    <t>FIIS de Hotelarias</t>
  </si>
  <si>
    <t>Aporte mensal</t>
  </si>
  <si>
    <t>2 Anos</t>
  </si>
  <si>
    <t>5 Anos</t>
  </si>
  <si>
    <t>10 Anos</t>
  </si>
  <si>
    <t>15 Anos</t>
  </si>
  <si>
    <t>20 Anos</t>
  </si>
  <si>
    <t>30 Anos</t>
  </si>
  <si>
    <t>Patrimônio</t>
  </si>
  <si>
    <t>Dividendos</t>
  </si>
  <si>
    <t>Informe seus rendimentos, seu perfil de investidor e por quanto tempo que deseja investir</t>
  </si>
  <si>
    <t>Informe o valor de aporte para a sugestão de investimento com base em seu perfilde investidor</t>
  </si>
  <si>
    <r>
      <rPr>
        <i/>
        <sz val="11"/>
        <color theme="1" tint="0.34998626667073579"/>
        <rFont val="Calibri"/>
        <family val="2"/>
        <scheme val="minor"/>
      </rPr>
      <t xml:space="preserve">* O cálculo do rendimento mensal médio da carteira é estimado com base no retorno do índice IFIX. </t>
    </r>
    <r>
      <rPr>
        <i/>
        <sz val="11"/>
        <color theme="10"/>
        <rFont val="Calibri"/>
        <family val="2"/>
        <scheme val="minor"/>
      </rPr>
      <t>Clique aqui e saiba mais</t>
    </r>
  </si>
  <si>
    <t>Rendimentos Históricos dos Fundos Imobiiliários</t>
  </si>
  <si>
    <r>
      <t xml:space="preserve">O rendimento dos Fundos Imobiliários (FIIs) é geralmente medido pelo IFIX (Índice de Fundos de Investimentos Imobiliários), que reflete tanto a valorização das cotas quanto os dividendos pagos. 
Como o IFIX foi criado em 2010, não existem dados consolidados para períodos de 20, 25 ou 30 anos.
</t>
    </r>
    <r>
      <rPr>
        <b/>
        <sz val="12"/>
        <color theme="1"/>
        <rFont val="Aptos Narrow"/>
        <family val="2"/>
      </rPr>
      <t xml:space="preserve">Abaixo, os rendimentos anuais médios aproximados baseados no histórico do índice até 2025: </t>
    </r>
    <r>
      <rPr>
        <sz val="12"/>
        <color theme="1"/>
        <rFont val="Aptos Narrow"/>
        <family val="2"/>
      </rPr>
      <t xml:space="preserve">
</t>
    </r>
  </si>
  <si>
    <r>
      <rPr>
        <b/>
        <sz val="12"/>
        <color theme="1"/>
        <rFont val="Aptos Narrow"/>
        <family val="2"/>
      </rPr>
      <t>Detalhes Importantes:</t>
    </r>
    <r>
      <rPr>
        <sz val="12"/>
        <color theme="1"/>
        <rFont val="Aptos Narrow"/>
        <family val="2"/>
      </rPr>
      <t xml:space="preserve">
  • Dividend Yield (Dividendos): Historicamente, o rendimento médio apenas de dividendos do IFIX gira em torno de 7,5% a 8,5% ao ano. Em momentos de crise ou juros altos, esse valor pode ultrapassar 10%.
  • Comparação com Outros Ativos: Nos últimos 10 anos, o IFIX tem superado frequentemente o Ibovespa em termos de dividend yield e estabilidade, mantendo-se competitivo frente a títulos do Tesouro Direto (NTN-B).
  • Acompanhamento: Você pode conferir os dados atualizados diretamente no site da B3 - Estatísticas do IFIX ou em plataformas como Status Invest. 
</t>
    </r>
  </si>
  <si>
    <t>Defina suas metas com Fundos Imobiliários</t>
  </si>
  <si>
    <t>Simulação de Cenários com os redimentos acumulados</t>
  </si>
  <si>
    <t>Cenário selecionado</t>
  </si>
  <si>
    <t>Outros 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</si>
</sst>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Sugestão de Investimento: &quot;\ &quot;R$&quot;\ #,###.00\ &quot;Mensais&quot;\."/>
    <numFmt numFmtId="170" formatCode="&quot;Patrimônio Acumulado em&quot;\ ##\ &quot;ano (s)&quot;"/>
    <numFmt numFmtId="171" formatCode="&quot;Dividendos Mensais Médios no ano&quot;\ ##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3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  <font>
      <b/>
      <sz val="12"/>
      <color theme="3"/>
      <name val="Aptos Narrow"/>
      <family val="2"/>
    </font>
    <font>
      <sz val="12"/>
      <color theme="1"/>
      <name val="Aptos Narrow"/>
      <family val="2"/>
    </font>
    <font>
      <i/>
      <sz val="11"/>
      <color rgb="FF7F7F7F"/>
      <name val="Aptos Narrow"/>
      <family val="2"/>
    </font>
    <font>
      <i/>
      <sz val="11"/>
      <color theme="1"/>
      <name val="Aptos Narrow"/>
      <family val="2"/>
    </font>
    <font>
      <b/>
      <i/>
      <sz val="16"/>
      <color theme="4" tint="-0.249977111117893"/>
      <name val="Aptos Narrow"/>
      <family val="2"/>
    </font>
    <font>
      <b/>
      <i/>
      <sz val="16"/>
      <color theme="3" tint="-0.249977111117893"/>
      <name val="Aptos Narrow"/>
      <family val="2"/>
    </font>
    <font>
      <b/>
      <i/>
      <sz val="14"/>
      <color theme="4" tint="-0.249977111117893"/>
      <name val="Aptos Narrow"/>
      <family val="2"/>
    </font>
    <font>
      <b/>
      <sz val="12"/>
      <color theme="1"/>
      <name val="Aptos Narrow"/>
      <family val="2"/>
    </font>
    <font>
      <b/>
      <sz val="14"/>
      <color theme="8" tint="-0.249977111117893"/>
      <name val="Aptos Narrow"/>
      <family val="2"/>
    </font>
    <font>
      <sz val="11"/>
      <color theme="1"/>
      <name val="Arial Narrow"/>
      <family val="2"/>
    </font>
    <font>
      <i/>
      <sz val="11"/>
      <color theme="1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sz val="18"/>
      <color theme="1"/>
      <name val="Aptos Narrow"/>
      <family val="2"/>
    </font>
    <font>
      <sz val="20"/>
      <color theme="8" tint="-0.249977111117893"/>
      <name val="Aptos Narrow"/>
      <family val="2"/>
    </font>
    <font>
      <b/>
      <sz val="13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3" tint="-0.249977111117893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medium">
        <color rgb="FF2D2F35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theme="2"/>
      </right>
      <top/>
      <bottom/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3" applyNumberFormat="0" applyAlignment="0" applyProtection="0"/>
    <xf numFmtId="0" fontId="1" fillId="3" borderId="4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27" fillId="0" borderId="11" applyNumberFormat="0" applyFill="0" applyAlignment="0" applyProtection="0"/>
  </cellStyleXfs>
  <cellXfs count="58">
    <xf numFmtId="0" fontId="0" fillId="0" borderId="0" xfId="0"/>
    <xf numFmtId="0" fontId="5" fillId="0" borderId="0" xfId="8"/>
    <xf numFmtId="10" fontId="0" fillId="0" borderId="0" xfId="2" applyNumberFormat="1" applyFont="1"/>
    <xf numFmtId="10" fontId="0" fillId="0" borderId="0" xfId="0" applyNumberFormat="1"/>
    <xf numFmtId="0" fontId="9" fillId="0" borderId="0" xfId="0" applyFont="1"/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7" fillId="0" borderId="0" xfId="0" applyFont="1"/>
    <xf numFmtId="10" fontId="7" fillId="0" borderId="0" xfId="2" applyNumberFormat="1" applyFont="1"/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5" applyFont="1"/>
    <xf numFmtId="10" fontId="12" fillId="0" borderId="0" xfId="5" applyNumberFormat="1" applyFont="1"/>
    <xf numFmtId="0" fontId="13" fillId="0" borderId="0" xfId="0" applyFont="1"/>
    <xf numFmtId="0" fontId="15" fillId="0" borderId="0" xfId="8" applyFont="1" applyBorder="1" applyAlignment="1">
      <alignment horizontal="left" vertical="center"/>
    </xf>
    <xf numFmtId="0" fontId="18" fillId="5" borderId="2" xfId="4" applyFont="1" applyFill="1"/>
    <xf numFmtId="44" fontId="18" fillId="5" borderId="2" xfId="1" applyFont="1" applyFill="1" applyBorder="1" applyProtection="1">
      <protection locked="0"/>
    </xf>
    <xf numFmtId="0" fontId="11" fillId="0" borderId="10" xfId="0" applyFont="1" applyBorder="1"/>
    <xf numFmtId="0" fontId="21" fillId="0" borderId="0" xfId="0" applyFont="1"/>
    <xf numFmtId="0" fontId="21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left" vertical="top" wrapText="1"/>
    </xf>
    <xf numFmtId="0" fontId="19" fillId="0" borderId="7" xfId="0" applyFont="1" applyBorder="1" applyAlignment="1">
      <alignment vertical="top" wrapText="1"/>
    </xf>
    <xf numFmtId="0" fontId="19" fillId="0" borderId="7" xfId="0" applyFont="1" applyBorder="1" applyAlignment="1">
      <alignment horizontal="left" vertical="center" wrapText="1" indent="1"/>
    </xf>
    <xf numFmtId="0" fontId="13" fillId="0" borderId="7" xfId="0" applyFont="1" applyBorder="1" applyAlignment="1">
      <alignment vertical="center" wrapText="1"/>
    </xf>
    <xf numFmtId="0" fontId="19" fillId="0" borderId="0" xfId="0" applyFont="1" applyAlignment="1">
      <alignment horizontal="left" vertical="center" wrapText="1" indent="1"/>
    </xf>
    <xf numFmtId="0" fontId="13" fillId="0" borderId="0" xfId="0" applyFont="1" applyAlignment="1">
      <alignment vertical="center" wrapText="1"/>
    </xf>
    <xf numFmtId="0" fontId="0" fillId="6" borderId="0" xfId="0" applyFill="1"/>
    <xf numFmtId="0" fontId="12" fillId="7" borderId="5" xfId="9" applyFont="1" applyFill="1" applyAlignment="1">
      <alignment horizontal="left"/>
    </xf>
    <xf numFmtId="0" fontId="12" fillId="7" borderId="5" xfId="9" applyFont="1" applyFill="1" applyAlignment="1">
      <alignment horizontal="right"/>
    </xf>
    <xf numFmtId="49" fontId="12" fillId="6" borderId="9" xfId="0" applyNumberFormat="1" applyFont="1" applyFill="1" applyBorder="1" applyAlignment="1">
      <alignment horizontal="left"/>
    </xf>
    <xf numFmtId="49" fontId="12" fillId="6" borderId="0" xfId="0" applyNumberFormat="1" applyFont="1" applyFill="1" applyAlignment="1">
      <alignment horizontal="left"/>
    </xf>
    <xf numFmtId="0" fontId="20" fillId="7" borderId="8" xfId="0" applyFont="1" applyFill="1" applyBorder="1"/>
    <xf numFmtId="0" fontId="20" fillId="7" borderId="8" xfId="0" applyFont="1" applyFill="1" applyBorder="1" applyAlignment="1">
      <alignment horizontal="right"/>
    </xf>
    <xf numFmtId="0" fontId="20" fillId="7" borderId="0" xfId="0" applyFont="1" applyFill="1" applyAlignment="1">
      <alignment horizontal="right"/>
    </xf>
    <xf numFmtId="0" fontId="26" fillId="0" borderId="0" xfId="8" applyFont="1" applyBorder="1" applyAlignment="1">
      <alignment vertical="top"/>
    </xf>
    <xf numFmtId="0" fontId="12" fillId="6" borderId="0" xfId="0" applyFont="1" applyFill="1"/>
    <xf numFmtId="9" fontId="12" fillId="6" borderId="0" xfId="2" applyFont="1" applyFill="1"/>
    <xf numFmtId="44" fontId="12" fillId="6" borderId="0" xfId="1" applyFont="1" applyFill="1"/>
    <xf numFmtId="0" fontId="17" fillId="4" borderId="4" xfId="7" applyFont="1" applyFill="1" applyAlignment="1">
      <alignment horizontal="left" vertical="center"/>
    </xf>
    <xf numFmtId="0" fontId="8" fillId="0" borderId="1" xfId="3" applyFont="1" applyAlignment="1">
      <alignment horizontal="left"/>
    </xf>
    <xf numFmtId="164" fontId="16" fillId="5" borderId="0" xfId="6" applyNumberFormat="1" applyFont="1" applyFill="1" applyBorder="1" applyAlignment="1">
      <alignment horizontal="left" vertical="center"/>
    </xf>
    <xf numFmtId="0" fontId="26" fillId="0" borderId="6" xfId="8" applyFont="1" applyBorder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25" fillId="0" borderId="0" xfId="0" applyFont="1" applyAlignment="1">
      <alignment horizontal="center" vertical="center"/>
    </xf>
    <xf numFmtId="0" fontId="14" fillId="0" borderId="0" xfId="8" applyFont="1" applyAlignment="1">
      <alignment horizontal="left"/>
    </xf>
    <xf numFmtId="0" fontId="22" fillId="0" borderId="0" xfId="10" applyFont="1" applyAlignment="1">
      <alignment horizontal="left"/>
    </xf>
    <xf numFmtId="0" fontId="24" fillId="0" borderId="0" xfId="10" applyFont="1" applyAlignment="1">
      <alignment horizontal="left"/>
    </xf>
    <xf numFmtId="0" fontId="12" fillId="6" borderId="0" xfId="5" applyFont="1" applyFill="1" applyBorder="1"/>
    <xf numFmtId="44" fontId="12" fillId="6" borderId="12" xfId="5" applyNumberFormat="1" applyFont="1" applyFill="1" applyBorder="1" applyProtection="1">
      <protection locked="0"/>
    </xf>
    <xf numFmtId="0" fontId="12" fillId="6" borderId="12" xfId="5" applyFont="1" applyFill="1" applyBorder="1" applyAlignment="1" applyProtection="1">
      <alignment horizontal="right"/>
      <protection locked="0"/>
    </xf>
    <xf numFmtId="10" fontId="12" fillId="6" borderId="12" xfId="5" applyNumberFormat="1" applyFont="1" applyFill="1" applyBorder="1"/>
    <xf numFmtId="0" fontId="29" fillId="0" borderId="11" xfId="11" applyFont="1"/>
    <xf numFmtId="0" fontId="28" fillId="0" borderId="0" xfId="11" applyFont="1" applyBorder="1"/>
    <xf numFmtId="170" fontId="30" fillId="8" borderId="0" xfId="5" applyNumberFormat="1" applyFont="1" applyFill="1" applyAlignment="1"/>
    <xf numFmtId="8" fontId="30" fillId="8" borderId="0" xfId="0" applyNumberFormat="1" applyFont="1" applyFill="1"/>
    <xf numFmtId="171" fontId="30" fillId="8" borderId="0" xfId="5" applyNumberFormat="1" applyFont="1" applyFill="1" applyAlignment="1">
      <alignment horizontal="right"/>
    </xf>
    <xf numFmtId="8" fontId="12" fillId="6" borderId="9" xfId="0" applyNumberFormat="1" applyFont="1" applyFill="1" applyBorder="1"/>
  </cellXfs>
  <cellStyles count="12">
    <cellStyle name="Hiperlink" xfId="10" builtinId="8"/>
    <cellStyle name="Moeda" xfId="1" builtinId="4"/>
    <cellStyle name="Normal" xfId="0" builtinId="0"/>
    <cellStyle name="Nota" xfId="7" builtinId="10"/>
    <cellStyle name="Porcentagem" xfId="2" builtinId="5"/>
    <cellStyle name="Saída" xfId="6" builtinId="21"/>
    <cellStyle name="Texto Explicativo" xfId="8" builtinId="53"/>
    <cellStyle name="Título 1" xfId="3" builtinId="16"/>
    <cellStyle name="Título 2" xfId="11" builtinId="17"/>
    <cellStyle name="Título 3" xfId="4" builtinId="18"/>
    <cellStyle name="Título 4" xfId="5" builtinId="19"/>
    <cellStyle name="Total" xfId="9" builtinId="25"/>
  </cellStyles>
  <dxfs count="6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E6F0DC"/>
      <color rgb="FFE5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16189092065972E-2"/>
          <c:y val="7.9432624113475181E-2"/>
          <c:w val="0.54086317722681354"/>
          <c:h val="0.8354609929078014"/>
        </c:manualLayout>
      </c:layout>
      <c:pieChart>
        <c:varyColors val="1"/>
        <c:ser>
          <c:idx val="0"/>
          <c:order val="0"/>
          <c:tx>
            <c:strRef>
              <c:f>Simulador!$E$22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A8-41BC-80C6-C43DF2469A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8-41BC-80C6-C43DF2469A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A8-41BC-80C6-C43DF2469A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FA8-41BC-80C6-C43DF2469A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FA8-41BC-80C6-C43DF2469A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FA8-41BC-80C6-C43DF2469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Historic" panose="020B0502040204020203" pitchFamily="34" charset="0"/>
                    <a:ea typeface="Segoe UI Historic" panose="020B0502040204020203" pitchFamily="34" charset="0"/>
                    <a:cs typeface="Segoe UI Historic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Simulador!$C$23:$C$28</c:f>
              <c:strCache>
                <c:ptCount val="6"/>
                <c:pt idx="0">
                  <c:v>FIIs de Papel</c:v>
                </c:pt>
                <c:pt idx="1">
                  <c:v>FIIs de Tijolo</c:v>
                </c:pt>
                <c:pt idx="2">
                  <c:v>FIIs Híbridos</c:v>
                </c:pt>
                <c:pt idx="3">
                  <c:v>FOFs</c:v>
                </c:pt>
                <c:pt idx="4">
                  <c:v>FIIs de Desenvolvimento</c:v>
                </c:pt>
                <c:pt idx="5">
                  <c:v>FIIS de Hotelarias</c:v>
                </c:pt>
              </c:strCache>
            </c:strRef>
          </c:cat>
          <c:val>
            <c:numRef>
              <c:f>Simulador!$E$23:$E$28</c:f>
              <c:numCache>
                <c:formatCode>_("R$"* #,##0.00_);_("R$"* \(#,##0.00\);_("R$"* "-"??_);_(@_)</c:formatCode>
                <c:ptCount val="6"/>
                <c:pt idx="0">
                  <c:v>480</c:v>
                </c:pt>
                <c:pt idx="1">
                  <c:v>525</c:v>
                </c:pt>
                <c:pt idx="2">
                  <c:v>120</c:v>
                </c:pt>
                <c:pt idx="3">
                  <c:v>75</c:v>
                </c:pt>
                <c:pt idx="4">
                  <c:v>150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5-4343-A79A-A6B43C369F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98912532627639"/>
          <c:y val="2.1051879153403699E-2"/>
          <c:w val="0.32997230718061071"/>
          <c:h val="0.963569553805774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latin typeface="Segoe UI Historic" panose="020B0502040204020203" pitchFamily="34" charset="0"/>
          <a:ea typeface="Segoe UI Historic" panose="020B0502040204020203" pitchFamily="34" charset="0"/>
          <a:cs typeface="Segoe UI Historic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5476914817466"/>
          <c:y val="0.15016144349477684"/>
          <c:w val="0.79937169061646207"/>
          <c:h val="0.808053181386514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Simulador!$E$39</c:f>
              <c:strCache>
                <c:ptCount val="1"/>
                <c:pt idx="0">
                  <c:v>Dividendos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Simulador!$C$40:$C$45</c:f>
              <c:strCache>
                <c:ptCount val="6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15 Anos</c:v>
                </c:pt>
                <c:pt idx="4">
                  <c:v>20 Anos</c:v>
                </c:pt>
                <c:pt idx="5">
                  <c:v>30 Anos</c:v>
                </c:pt>
              </c:strCache>
            </c:strRef>
          </c:cat>
          <c:val>
            <c:numRef>
              <c:f>Simulador!$E$40:$E$45</c:f>
              <c:numCache>
                <c:formatCode>"R$"#,##0.00_);[Red]\("R$"#,##0.00\)</c:formatCode>
                <c:ptCount val="6"/>
                <c:pt idx="0">
                  <c:v>520.83673499999918</c:v>
                </c:pt>
                <c:pt idx="1">
                  <c:v>807.93593234999412</c:v>
                </c:pt>
                <c:pt idx="2">
                  <c:v>2571.1212699124026</c:v>
                </c:pt>
                <c:pt idx="3">
                  <c:v>4765.8722541235074</c:v>
                </c:pt>
                <c:pt idx="4">
                  <c:v>8591.2499239884673</c:v>
                </c:pt>
                <c:pt idx="5">
                  <c:v>24674.103403329864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3-4C76-840D-9F078F50D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59720784"/>
        <c:axId val="59719536"/>
      </c:barChart>
      <c:catAx>
        <c:axId val="5972078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19536"/>
        <c:crosses val="autoZero"/>
        <c:auto val="1"/>
        <c:lblAlgn val="ctr"/>
        <c:lblOffset val="100"/>
        <c:noMultiLvlLbl val="0"/>
      </c:catAx>
      <c:valAx>
        <c:axId val="5971953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crossAx val="597207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Patrimônio Acumulado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="1"/>
          </a:pPr>
          <a:r>
            <a:rPr lang="pt-BR" sz="14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Patrimônio Acumulado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waterfall" uniqueId="{FAA32B6B-EB8A-4A3A-A761-7B5C9B025F3E}">
          <cx:tx>
            <cx:txData>
              <cx:f>_xlchart.v1.1</cx:f>
              <cx:v>Patrimônio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40404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 b="1"/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 b="1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 b="1"/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imulado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CE10E5F-18D5-810D-8898-09ED00786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45</xdr:row>
      <xdr:rowOff>0</xdr:rowOff>
    </xdr:from>
    <xdr:to>
      <xdr:col>5</xdr:col>
      <xdr:colOff>0</xdr:colOff>
      <xdr:row>54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B0FFB762-FA94-492C-806C-9DB2FA1E38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" y="7410450"/>
              <a:ext cx="5591175" cy="1904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104775</xdr:colOff>
      <xdr:row>37</xdr:row>
      <xdr:rowOff>1</xdr:rowOff>
    </xdr:from>
    <xdr:to>
      <xdr:col>8</xdr:col>
      <xdr:colOff>0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376D88-C662-B6E6-899F-2D2917E7D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919691</xdr:colOff>
      <xdr:row>7</xdr:row>
      <xdr:rowOff>63500</xdr:rowOff>
    </xdr:from>
    <xdr:to>
      <xdr:col>3</xdr:col>
      <xdr:colOff>1332441</xdr:colOff>
      <xdr:row>7</xdr:row>
      <xdr:rowOff>179916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2F597247-224B-80CA-541E-C1501A008878}"/>
            </a:ext>
          </a:extLst>
        </xdr:cNvPr>
        <xdr:cNvSpPr/>
      </xdr:nvSpPr>
      <xdr:spPr>
        <a:xfrm>
          <a:off x="4380441" y="1746250"/>
          <a:ext cx="412750" cy="116416"/>
        </a:xfrm>
        <a:prstGeom prst="right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919691</xdr:colOff>
      <xdr:row>8</xdr:row>
      <xdr:rowOff>57150</xdr:rowOff>
    </xdr:from>
    <xdr:to>
      <xdr:col>3</xdr:col>
      <xdr:colOff>1332441</xdr:colOff>
      <xdr:row>8</xdr:row>
      <xdr:rowOff>173566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9D86AA44-E79A-45B2-8E00-995C5EE69561}"/>
            </a:ext>
          </a:extLst>
        </xdr:cNvPr>
        <xdr:cNvSpPr/>
      </xdr:nvSpPr>
      <xdr:spPr>
        <a:xfrm>
          <a:off x="4380441" y="1940983"/>
          <a:ext cx="412750" cy="116416"/>
        </a:xfrm>
        <a:prstGeom prst="right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919691</xdr:colOff>
      <xdr:row>9</xdr:row>
      <xdr:rowOff>40216</xdr:rowOff>
    </xdr:from>
    <xdr:to>
      <xdr:col>3</xdr:col>
      <xdr:colOff>1332441</xdr:colOff>
      <xdr:row>9</xdr:row>
      <xdr:rowOff>156632</xdr:rowOff>
    </xdr:to>
    <xdr:sp macro="" textlink="">
      <xdr:nvSpPr>
        <xdr:cNvPr id="8" name="Seta: para a Direita 7">
          <a:extLst>
            <a:ext uri="{FF2B5EF4-FFF2-40B4-BE49-F238E27FC236}">
              <a16:creationId xmlns:a16="http://schemas.microsoft.com/office/drawing/2014/main" id="{DD09B955-5290-4602-88AE-3DBEC3131366}"/>
            </a:ext>
          </a:extLst>
        </xdr:cNvPr>
        <xdr:cNvSpPr/>
      </xdr:nvSpPr>
      <xdr:spPr>
        <a:xfrm>
          <a:off x="4380441" y="2125133"/>
          <a:ext cx="412750" cy="116416"/>
        </a:xfrm>
        <a:prstGeom prst="right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158750</xdr:colOff>
      <xdr:row>19</xdr:row>
      <xdr:rowOff>74083</xdr:rowOff>
    </xdr:from>
    <xdr:to>
      <xdr:col>4</xdr:col>
      <xdr:colOff>571500</xdr:colOff>
      <xdr:row>19</xdr:row>
      <xdr:rowOff>190499</xdr:rowOff>
    </xdr:to>
    <xdr:sp macro="" textlink="">
      <xdr:nvSpPr>
        <xdr:cNvPr id="11" name="Seta: para a Esquerda 10">
          <a:extLst>
            <a:ext uri="{FF2B5EF4-FFF2-40B4-BE49-F238E27FC236}">
              <a16:creationId xmlns:a16="http://schemas.microsoft.com/office/drawing/2014/main" id="{5CCC1D88-5FFE-4BDF-AF34-FC5CF530D19A}"/>
            </a:ext>
          </a:extLst>
        </xdr:cNvPr>
        <xdr:cNvSpPr/>
      </xdr:nvSpPr>
      <xdr:spPr>
        <a:xfrm>
          <a:off x="5027083" y="4286250"/>
          <a:ext cx="412750" cy="116416"/>
        </a:xfrm>
        <a:prstGeom prst="left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296334</xdr:colOff>
      <xdr:row>7</xdr:row>
      <xdr:rowOff>1</xdr:rowOff>
    </xdr:from>
    <xdr:to>
      <xdr:col>8</xdr:col>
      <xdr:colOff>0</xdr:colOff>
      <xdr:row>11</xdr:row>
      <xdr:rowOff>10584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687387A3-7355-71CD-C0CC-32B22FD332EE}"/>
            </a:ext>
          </a:extLst>
        </xdr:cNvPr>
        <xdr:cNvSpPr/>
      </xdr:nvSpPr>
      <xdr:spPr>
        <a:xfrm>
          <a:off x="5894917" y="1545168"/>
          <a:ext cx="3206750" cy="81491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B0F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accent5"/>
              </a:solidFill>
              <a:latin typeface="Aptos Narrow" panose="020B0004020202020204" pitchFamily="34" charset="0"/>
            </a:rPr>
            <a:t>Material desenvolvido para fins</a:t>
          </a:r>
          <a:r>
            <a:rPr lang="pt-BR" sz="1200" baseline="0">
              <a:solidFill>
                <a:schemeClr val="accent5"/>
              </a:solidFill>
              <a:latin typeface="Aptos Narrow" panose="020B0004020202020204" pitchFamily="34" charset="0"/>
            </a:rPr>
            <a:t> </a:t>
          </a:r>
          <a:r>
            <a:rPr lang="pt-BR" sz="1200">
              <a:solidFill>
                <a:schemeClr val="accent5"/>
              </a:solidFill>
              <a:latin typeface="Aptos Narrow" panose="020B0004020202020204" pitchFamily="34" charset="0"/>
            </a:rPr>
            <a:t>didáticos, as simulações não tem objetivo de</a:t>
          </a:r>
          <a:r>
            <a:rPr lang="pt-BR" sz="1200" baseline="0">
              <a:solidFill>
                <a:schemeClr val="accent5"/>
              </a:solidFill>
              <a:latin typeface="Aptos Narrow" panose="020B0004020202020204" pitchFamily="34" charset="0"/>
            </a:rPr>
            <a:t> prever qualquer retorno sobre investimentos em fundos imobiliários.</a:t>
          </a:r>
          <a:endParaRPr lang="pt-BR" sz="1200">
            <a:solidFill>
              <a:schemeClr val="accent5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771532</xdr:colOff>
      <xdr:row>3</xdr:row>
      <xdr:rowOff>0</xdr:rowOff>
    </xdr:to>
    <xdr:sp macro="" textlink="">
      <xdr:nvSpPr>
        <xdr:cNvPr id="3" name="Retângulo: Cantos Diagonais Recort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B35789-00D0-6F82-97AB-57570095DE7F}"/>
            </a:ext>
          </a:extLst>
        </xdr:cNvPr>
        <xdr:cNvSpPr/>
      </xdr:nvSpPr>
      <xdr:spPr>
        <a:xfrm flipH="1">
          <a:off x="0" y="1"/>
          <a:ext cx="1381132" cy="609599"/>
        </a:xfrm>
        <a:prstGeom prst="snip2DiagRect">
          <a:avLst>
            <a:gd name="adj1" fmla="val 0"/>
            <a:gd name="adj2" fmla="val 3125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tx2"/>
              </a:solidFill>
            </a:rPr>
            <a:t>Página Inicial</a:t>
          </a:r>
        </a:p>
      </xdr:txBody>
    </xdr:sp>
    <xdr:clientData/>
  </xdr:twoCellAnchor>
  <xdr:twoCellAnchor>
    <xdr:from>
      <xdr:col>3</xdr:col>
      <xdr:colOff>2257414</xdr:colOff>
      <xdr:row>0</xdr:row>
      <xdr:rowOff>9524</xdr:rowOff>
    </xdr:from>
    <xdr:to>
      <xdr:col>4</xdr:col>
      <xdr:colOff>609597</xdr:colOff>
      <xdr:row>2</xdr:row>
      <xdr:rowOff>209549</xdr:rowOff>
    </xdr:to>
    <xdr:sp macro="" textlink="">
      <xdr:nvSpPr>
        <xdr:cNvPr id="6" name="Retângulo: Cantos Diagonais Recort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BADC02-366B-48D2-87A5-37859777F4B7}"/>
            </a:ext>
          </a:extLst>
        </xdr:cNvPr>
        <xdr:cNvSpPr/>
      </xdr:nvSpPr>
      <xdr:spPr>
        <a:xfrm flipH="1">
          <a:off x="6572239" y="9524"/>
          <a:ext cx="1381133" cy="600075"/>
        </a:xfrm>
        <a:prstGeom prst="snip2DiagRect">
          <a:avLst>
            <a:gd name="adj1" fmla="val 0"/>
            <a:gd name="adj2" fmla="val 3125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tx2"/>
              </a:solidFill>
            </a:rPr>
            <a:t>Página Inicial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01771-5A5E-4F0F-A515-101097DDB9A4}" name="tbl_sugestao_invest" displayName="tbl_sugestao_invest" ref="B2:E20" totalsRowShown="0">
  <tableColumns count="4">
    <tableColumn id="1" xr3:uid="{CAC6419A-0D15-4E4C-AB28-650710CAD9C1}" name="CHAVE" dataDxfId="5">
      <calculatedColumnFormula>C3&amp;"-"&amp;D3</calculatedColumnFormula>
    </tableColumn>
    <tableColumn id="2" xr3:uid="{C85DFA00-8EA0-4A25-83F2-D29FD71FD483}" name="PERFIL" dataDxfId="4"/>
    <tableColumn id="3" xr3:uid="{40DD550B-C232-4F0E-A9FD-7450EAEDD6FA}" name="TIPO DE FII" dataDxfId="3"/>
    <tableColumn id="4" xr3:uid="{5E631A91-6900-43E4-88D9-C1B531BC4F97}" name="%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12D300-C690-42E9-8E48-E082F3E67189}" name="Tabela2" displayName="Tabela2" ref="G2:I42" totalsRowShown="0">
  <tableColumns count="3">
    <tableColumn id="1" xr3:uid="{3DC76733-C005-469D-87E3-333B26E078E8}" name="Anos"/>
    <tableColumn id="2" xr3:uid="{CEBF8958-C118-458B-BE11-9FBE2B04251D}" name="Yield_Anual" dataDxfId="1" dataCellStyle="Porcentagem"/>
    <tableColumn id="3" xr3:uid="{FABE156E-5216-4989-9A89-7DD86757314F}" name="Yield_Mensal" dataDxfId="0">
      <calculatedColumnFormula>(H3+1)^(1/12)-1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showGridLines="0" showRowColHeaders="0" tabSelected="1" zoomScale="90" zoomScaleNormal="90" workbookViewId="0"/>
  </sheetViews>
  <sheetFormatPr defaultColWidth="0" defaultRowHeight="15" zeroHeight="1" x14ac:dyDescent="0.25"/>
  <cols>
    <col min="1" max="2" width="2.7109375" customWidth="1"/>
    <col min="3" max="3" width="44" bestFit="1" customWidth="1"/>
    <col min="4" max="4" width="21.85546875" bestFit="1" customWidth="1"/>
    <col min="5" max="5" width="14.5703125" bestFit="1" customWidth="1"/>
    <col min="6" max="6" width="16.28515625" customWidth="1"/>
    <col min="7" max="7" width="13.7109375" customWidth="1"/>
    <col min="8" max="8" width="18.140625" bestFit="1" customWidth="1"/>
    <col min="9" max="9" width="6.140625" customWidth="1"/>
    <col min="10" max="16384" width="9.140625" hidden="1"/>
  </cols>
  <sheetData>
    <row r="1" spans="1:9" ht="5.0999999999999996" customHeight="1" x14ac:dyDescent="0.25">
      <c r="A1" s="9"/>
    </row>
    <row r="2" spans="1:9" ht="52.5" customHeight="1" thickBot="1" x14ac:dyDescent="0.95">
      <c r="C2" s="40" t="s">
        <v>13</v>
      </c>
      <c r="D2" s="40"/>
      <c r="E2" s="40"/>
      <c r="F2" s="40"/>
      <c r="G2" s="40"/>
      <c r="H2" s="40"/>
    </row>
    <row r="3" spans="1:9" ht="26.25" thickTop="1" x14ac:dyDescent="0.25">
      <c r="C3" s="42" t="s">
        <v>61</v>
      </c>
      <c r="D3" s="42"/>
      <c r="E3" s="42"/>
      <c r="F3" s="42"/>
      <c r="G3" s="42"/>
      <c r="H3" s="42"/>
    </row>
    <row r="4" spans="1:9" ht="5.0999999999999996" customHeight="1" x14ac:dyDescent="0.25">
      <c r="C4" s="35"/>
      <c r="D4" s="35"/>
      <c r="E4" s="35"/>
      <c r="F4" s="35"/>
      <c r="G4" s="35"/>
      <c r="H4" s="35"/>
    </row>
    <row r="5" spans="1:9" ht="15" customHeight="1" x14ac:dyDescent="0.25">
      <c r="C5" s="39" t="s">
        <v>55</v>
      </c>
      <c r="D5" s="39"/>
      <c r="E5" s="39"/>
      <c r="F5" s="39"/>
      <c r="G5" s="39"/>
      <c r="H5" s="39"/>
      <c r="I5" s="1"/>
    </row>
    <row r="6" spans="1:9" ht="15" customHeight="1" x14ac:dyDescent="0.25">
      <c r="C6" s="39"/>
      <c r="D6" s="39"/>
      <c r="E6" s="39"/>
      <c r="F6" s="39"/>
      <c r="G6" s="39"/>
      <c r="H6" s="39"/>
    </row>
    <row r="7" spans="1:9" ht="5.0999999999999996" customHeight="1" x14ac:dyDescent="0.25">
      <c r="C7" s="10"/>
      <c r="D7" s="10"/>
      <c r="E7" s="10"/>
      <c r="F7" s="10"/>
      <c r="G7" s="10"/>
      <c r="H7" s="10"/>
    </row>
    <row r="8" spans="1:9" ht="15.75" x14ac:dyDescent="0.25">
      <c r="C8" s="48" t="s">
        <v>0</v>
      </c>
      <c r="D8" s="48"/>
      <c r="E8" s="49">
        <v>5000</v>
      </c>
      <c r="F8" s="27"/>
      <c r="G8" s="27"/>
      <c r="H8" s="27"/>
    </row>
    <row r="9" spans="1:9" ht="15.75" x14ac:dyDescent="0.25">
      <c r="C9" s="48" t="s">
        <v>12</v>
      </c>
      <c r="D9" s="48"/>
      <c r="E9" s="50" t="s">
        <v>3</v>
      </c>
      <c r="F9" s="27"/>
      <c r="G9" s="27"/>
      <c r="H9" s="27"/>
    </row>
    <row r="10" spans="1:9" ht="15.75" x14ac:dyDescent="0.25">
      <c r="C10" s="48" t="s">
        <v>39</v>
      </c>
      <c r="D10" s="48"/>
      <c r="E10" s="50">
        <v>10</v>
      </c>
      <c r="F10" s="27"/>
      <c r="G10" s="27"/>
      <c r="H10" s="27"/>
    </row>
    <row r="11" spans="1:9" ht="15.75" x14ac:dyDescent="0.25">
      <c r="C11" s="48" t="s">
        <v>17</v>
      </c>
      <c r="D11" s="48"/>
      <c r="E11" s="51">
        <f>VLOOKUP(E10,Tabelas_aux!G2:I42,3,0)</f>
        <v>8.355155683635207E-3</v>
      </c>
      <c r="F11" s="27"/>
      <c r="G11" s="27"/>
      <c r="H11" s="27"/>
    </row>
    <row r="12" spans="1:9" ht="6.95" customHeight="1" x14ac:dyDescent="0.25">
      <c r="C12" s="11"/>
      <c r="D12" s="11"/>
      <c r="E12" s="12"/>
      <c r="F12" s="13"/>
      <c r="G12" s="13"/>
      <c r="H12" s="13"/>
    </row>
    <row r="13" spans="1:9" x14ac:dyDescent="0.25">
      <c r="C13" s="46" t="s">
        <v>57</v>
      </c>
      <c r="D13" s="47"/>
      <c r="E13" s="47"/>
      <c r="F13" s="47"/>
      <c r="G13" s="47"/>
      <c r="H13" s="45"/>
    </row>
    <row r="14" spans="1:9" ht="6.95" customHeight="1" x14ac:dyDescent="0.25">
      <c r="C14" s="14"/>
      <c r="D14" s="14"/>
      <c r="E14" s="14"/>
      <c r="F14" s="14"/>
      <c r="G14" s="14"/>
      <c r="H14" s="14"/>
    </row>
    <row r="15" spans="1:9" ht="21" x14ac:dyDescent="0.25">
      <c r="C15" s="41">
        <f>E8*30%</f>
        <v>1500</v>
      </c>
      <c r="D15" s="41"/>
      <c r="E15" s="41"/>
      <c r="F15" s="41"/>
      <c r="G15" s="41"/>
      <c r="H15" s="41"/>
    </row>
    <row r="16" spans="1:9" ht="9.9499999999999993" customHeight="1" x14ac:dyDescent="0.25">
      <c r="C16" s="10"/>
      <c r="D16" s="10"/>
      <c r="E16" s="10"/>
      <c r="F16" s="10"/>
      <c r="G16" s="10"/>
      <c r="H16" s="10"/>
    </row>
    <row r="17" spans="3:8" ht="15.75" customHeight="1" x14ac:dyDescent="0.25">
      <c r="C17" s="39" t="s">
        <v>56</v>
      </c>
      <c r="D17" s="39"/>
      <c r="E17" s="39"/>
      <c r="F17" s="39"/>
      <c r="G17" s="39"/>
      <c r="H17" s="39"/>
    </row>
    <row r="18" spans="3:8" ht="15" customHeight="1" x14ac:dyDescent="0.25">
      <c r="C18" s="39"/>
      <c r="D18" s="39"/>
      <c r="E18" s="39"/>
      <c r="F18" s="39"/>
      <c r="G18" s="39"/>
      <c r="H18" s="39"/>
    </row>
    <row r="19" spans="3:8" ht="9.9499999999999993" customHeight="1" x14ac:dyDescent="0.25">
      <c r="C19" s="10"/>
      <c r="D19" s="10"/>
      <c r="E19" s="10"/>
      <c r="F19" s="10"/>
      <c r="G19" s="10"/>
      <c r="H19" s="10"/>
    </row>
    <row r="20" spans="3:8" ht="19.5" thickBot="1" x14ac:dyDescent="0.35">
      <c r="C20" s="15" t="s">
        <v>46</v>
      </c>
      <c r="D20" s="16">
        <v>1500</v>
      </c>
      <c r="E20" s="10"/>
      <c r="F20" s="10"/>
      <c r="G20" s="10"/>
      <c r="H20" s="10"/>
    </row>
    <row r="21" spans="3:8" ht="9.9499999999999993" customHeight="1" x14ac:dyDescent="0.25">
      <c r="C21" s="10"/>
      <c r="D21" s="10"/>
      <c r="E21" s="10"/>
      <c r="F21" s="10"/>
      <c r="G21" s="10"/>
      <c r="H21" s="10"/>
    </row>
    <row r="22" spans="3:8" ht="16.5" thickBot="1" x14ac:dyDescent="0.3">
      <c r="C22" s="28" t="s">
        <v>40</v>
      </c>
      <c r="D22" s="29" t="s">
        <v>5</v>
      </c>
      <c r="E22" s="29" t="s">
        <v>6</v>
      </c>
      <c r="F22" s="10"/>
      <c r="G22" s="10"/>
      <c r="H22" s="10"/>
    </row>
    <row r="23" spans="3:8" ht="16.5" thickTop="1" x14ac:dyDescent="0.25">
      <c r="C23" s="36" t="s">
        <v>41</v>
      </c>
      <c r="D23" s="37">
        <f>VLOOKUP($E$9&amp;"-"&amp;C23,tbl_sugestao_invest[#All],4,0)</f>
        <v>0.32</v>
      </c>
      <c r="E23" s="38">
        <f t="shared" ref="E23:E28" si="0">D23*$D$20</f>
        <v>480</v>
      </c>
      <c r="F23" s="10"/>
      <c r="G23" s="10"/>
      <c r="H23" s="10"/>
    </row>
    <row r="24" spans="3:8" ht="15.75" x14ac:dyDescent="0.25">
      <c r="C24" s="36" t="s">
        <v>42</v>
      </c>
      <c r="D24" s="37">
        <f>VLOOKUP($E$9&amp;"-"&amp;C24,tbl_sugestao_invest[#All],4,0)</f>
        <v>0.35</v>
      </c>
      <c r="E24" s="38">
        <f t="shared" si="0"/>
        <v>525</v>
      </c>
      <c r="F24" s="10"/>
      <c r="G24" s="10"/>
      <c r="H24" s="10"/>
    </row>
    <row r="25" spans="3:8" ht="15.75" x14ac:dyDescent="0.25">
      <c r="C25" s="36" t="s">
        <v>43</v>
      </c>
      <c r="D25" s="37">
        <f>VLOOKUP($E$9&amp;"-"&amp;C25,tbl_sugestao_invest[#All],4,0)</f>
        <v>0.08</v>
      </c>
      <c r="E25" s="38">
        <f t="shared" si="0"/>
        <v>120</v>
      </c>
      <c r="F25" s="10"/>
      <c r="G25" s="10"/>
      <c r="H25" s="10"/>
    </row>
    <row r="26" spans="3:8" ht="15.75" x14ac:dyDescent="0.25">
      <c r="C26" s="36" t="s">
        <v>7</v>
      </c>
      <c r="D26" s="37">
        <f>VLOOKUP($E$9&amp;"-"&amp;C26,tbl_sugestao_invest[#All],4,0)</f>
        <v>0.05</v>
      </c>
      <c r="E26" s="38">
        <f t="shared" si="0"/>
        <v>75</v>
      </c>
      <c r="F26" s="10"/>
      <c r="G26" s="10"/>
      <c r="H26" s="10"/>
    </row>
    <row r="27" spans="3:8" ht="15.75" x14ac:dyDescent="0.25">
      <c r="C27" s="36" t="s">
        <v>44</v>
      </c>
      <c r="D27" s="37">
        <f>VLOOKUP($E$9&amp;"-"&amp;C27,tbl_sugestao_invest[#All],4,0)</f>
        <v>0.1</v>
      </c>
      <c r="E27" s="38">
        <f t="shared" si="0"/>
        <v>150</v>
      </c>
      <c r="F27" s="10"/>
      <c r="G27" s="10"/>
      <c r="H27" s="10"/>
    </row>
    <row r="28" spans="3:8" ht="15.75" x14ac:dyDescent="0.25">
      <c r="C28" s="36" t="s">
        <v>45</v>
      </c>
      <c r="D28" s="37">
        <f>VLOOKUP($E$9&amp;"-"&amp;C28,tbl_sugestao_invest[#All],4,0)</f>
        <v>0.1</v>
      </c>
      <c r="E28" s="38">
        <f t="shared" si="0"/>
        <v>150</v>
      </c>
      <c r="F28" s="10"/>
      <c r="G28" s="10"/>
      <c r="H28" s="10"/>
    </row>
    <row r="29" spans="3:8" ht="9.9499999999999993" customHeight="1" x14ac:dyDescent="0.25">
      <c r="C29" s="10"/>
      <c r="D29" s="10"/>
      <c r="E29" s="10"/>
      <c r="F29" s="10"/>
      <c r="G29" s="10"/>
      <c r="H29" s="10"/>
    </row>
    <row r="30" spans="3:8" x14ac:dyDescent="0.25">
      <c r="C30" s="39" t="s">
        <v>62</v>
      </c>
      <c r="D30" s="39"/>
      <c r="E30" s="39"/>
      <c r="F30" s="39"/>
      <c r="G30" s="39"/>
      <c r="H30" s="39"/>
    </row>
    <row r="31" spans="3:8" x14ac:dyDescent="0.25">
      <c r="C31" s="39"/>
      <c r="D31" s="39"/>
      <c r="E31" s="39"/>
      <c r="F31" s="39"/>
      <c r="G31" s="39"/>
      <c r="H31" s="39"/>
    </row>
    <row r="32" spans="3:8" ht="6.95" customHeight="1" x14ac:dyDescent="0.25">
      <c r="C32" s="10"/>
      <c r="D32" s="10"/>
      <c r="E32" s="10"/>
      <c r="F32" s="10"/>
      <c r="G32" s="10"/>
      <c r="H32" s="10"/>
    </row>
    <row r="33" spans="1:8" ht="21.75" thickBot="1" x14ac:dyDescent="0.4">
      <c r="C33" s="52" t="s">
        <v>63</v>
      </c>
      <c r="D33" s="52"/>
      <c r="E33" s="52"/>
      <c r="F33" s="52"/>
      <c r="G33" s="52"/>
      <c r="H33" s="52"/>
    </row>
    <row r="34" spans="1:8" ht="6.95" customHeight="1" thickTop="1" x14ac:dyDescent="0.3">
      <c r="C34" s="53"/>
      <c r="D34" s="53"/>
      <c r="E34" s="53"/>
      <c r="F34" s="53"/>
      <c r="G34" s="53"/>
      <c r="H34" s="53"/>
    </row>
    <row r="35" spans="1:8" ht="21.75" customHeight="1" x14ac:dyDescent="0.3">
      <c r="C35" s="54">
        <f>qtd_anos</f>
        <v>10</v>
      </c>
      <c r="D35" s="55">
        <f>FV(taxa_mensal,qtd_anos*12,aporte*-1)</f>
        <v>307728.70874785964</v>
      </c>
      <c r="E35" s="56">
        <f>qtd_anos</f>
        <v>10</v>
      </c>
      <c r="F35" s="56"/>
      <c r="G35" s="56"/>
      <c r="H35" s="55">
        <f>patrimonio*taxa_mensal</f>
        <v>2571.1212699124026</v>
      </c>
    </row>
    <row r="36" spans="1:8" ht="6.95" customHeight="1" x14ac:dyDescent="0.25">
      <c r="F36" s="10"/>
      <c r="G36" s="10"/>
      <c r="H36" s="10"/>
    </row>
    <row r="37" spans="1:8" ht="21.75" thickBot="1" x14ac:dyDescent="0.4">
      <c r="C37" s="52" t="s">
        <v>64</v>
      </c>
      <c r="D37" s="52"/>
      <c r="E37" s="52"/>
      <c r="F37" s="52"/>
      <c r="G37" s="52"/>
      <c r="H37" s="52"/>
    </row>
    <row r="38" spans="1:8" ht="9.9499999999999993" customHeight="1" thickTop="1" x14ac:dyDescent="0.25">
      <c r="C38" s="10"/>
      <c r="D38" s="10"/>
      <c r="E38" s="10"/>
      <c r="F38" s="10"/>
      <c r="G38" s="10"/>
      <c r="H38" s="10"/>
    </row>
    <row r="39" spans="1:8" ht="18.75" x14ac:dyDescent="0.3">
      <c r="C39" s="32" t="s">
        <v>1</v>
      </c>
      <c r="D39" s="33" t="s">
        <v>53</v>
      </c>
      <c r="E39" s="34" t="s">
        <v>54</v>
      </c>
      <c r="F39" s="10"/>
      <c r="G39" s="10"/>
      <c r="H39" s="10"/>
    </row>
    <row r="40" spans="1:8" ht="15.75" x14ac:dyDescent="0.25">
      <c r="A40" s="8">
        <f>VLOOKUP(B40,Tabela2[#All],3,0)</f>
        <v>1.2496037032953655E-2</v>
      </c>
      <c r="B40" s="7">
        <v>2</v>
      </c>
      <c r="C40" s="30" t="s">
        <v>47</v>
      </c>
      <c r="D40" s="57">
        <f t="shared" ref="D40:D45" si="1">FV($A40,$B40*12,$D$20*-1)</f>
        <v>41680.152965815141</v>
      </c>
      <c r="E40" s="57">
        <f t="shared" ref="E40:E45" si="2">D40*A40</f>
        <v>520.83673499999918</v>
      </c>
      <c r="F40" s="10"/>
      <c r="G40" s="10"/>
      <c r="H40" s="10"/>
    </row>
    <row r="41" spans="1:8" ht="15.75" x14ac:dyDescent="0.25">
      <c r="A41" s="8">
        <f>VLOOKUP(B41,Tabela2[#All],3,0)</f>
        <v>7.2073233161367156E-3</v>
      </c>
      <c r="B41" s="7">
        <v>5</v>
      </c>
      <c r="C41" s="31" t="s">
        <v>48</v>
      </c>
      <c r="D41" s="57">
        <f t="shared" si="1"/>
        <v>112099.30468098739</v>
      </c>
      <c r="E41" s="57">
        <f t="shared" si="2"/>
        <v>807.93593234999412</v>
      </c>
      <c r="F41" s="10"/>
      <c r="G41" s="10"/>
      <c r="H41" s="10"/>
    </row>
    <row r="42" spans="1:8" ht="15.75" x14ac:dyDescent="0.25">
      <c r="A42" s="8">
        <f>VLOOKUP(B42,Tabela2[#All],3,0)</f>
        <v>8.355155683635207E-3</v>
      </c>
      <c r="B42" s="7">
        <v>10</v>
      </c>
      <c r="C42" s="30" t="s">
        <v>49</v>
      </c>
      <c r="D42" s="57">
        <f t="shared" si="1"/>
        <v>307728.70874785964</v>
      </c>
      <c r="E42" s="57">
        <f t="shared" si="2"/>
        <v>2571.1212699124026</v>
      </c>
      <c r="F42" s="10"/>
      <c r="G42" s="10"/>
      <c r="H42" s="10"/>
    </row>
    <row r="43" spans="1:8" ht="15.75" x14ac:dyDescent="0.25">
      <c r="A43" s="8">
        <f>VLOOKUP(B43,Tabela2[#All],3,0)</f>
        <v>7.9741404289037643E-3</v>
      </c>
      <c r="B43" s="7">
        <v>15</v>
      </c>
      <c r="C43" s="30" t="s">
        <v>50</v>
      </c>
      <c r="D43" s="57">
        <f t="shared" si="1"/>
        <v>597665.95492207678</v>
      </c>
      <c r="E43" s="57">
        <f t="shared" si="2"/>
        <v>4765.8722541235074</v>
      </c>
      <c r="F43" s="10"/>
      <c r="G43" s="10"/>
      <c r="H43" s="10"/>
    </row>
    <row r="44" spans="1:8" ht="15.75" x14ac:dyDescent="0.25">
      <c r="A44" s="8">
        <f>VLOOKUP(B44,Tabela2[#All],3,0)</f>
        <v>7.9741404289037643E-3</v>
      </c>
      <c r="B44" s="7">
        <v>20</v>
      </c>
      <c r="C44" s="30" t="s">
        <v>51</v>
      </c>
      <c r="D44" s="57">
        <f t="shared" si="1"/>
        <v>1077388.8421688529</v>
      </c>
      <c r="E44" s="57">
        <f t="shared" si="2"/>
        <v>8591.2499239884673</v>
      </c>
      <c r="F44" s="10"/>
      <c r="G44" s="10"/>
      <c r="H44" s="10"/>
    </row>
    <row r="45" spans="1:8" ht="15.75" x14ac:dyDescent="0.25">
      <c r="A45" s="8">
        <f>VLOOKUP(B45,Tabela2[#All],3,0)</f>
        <v>7.9741404289037643E-3</v>
      </c>
      <c r="B45" s="7">
        <v>30</v>
      </c>
      <c r="C45" s="31" t="s">
        <v>52</v>
      </c>
      <c r="D45" s="57">
        <f t="shared" si="1"/>
        <v>3094264.9710423909</v>
      </c>
      <c r="E45" s="57">
        <f t="shared" si="2"/>
        <v>24674.103403329864</v>
      </c>
      <c r="F45" s="10"/>
      <c r="G45" s="10"/>
      <c r="H45" s="10"/>
    </row>
    <row r="46" spans="1:8" x14ac:dyDescent="0.25">
      <c r="C46" s="17"/>
      <c r="D46" s="10"/>
      <c r="E46" s="17"/>
      <c r="F46" s="10"/>
      <c r="G46" s="10"/>
      <c r="H46" s="10"/>
    </row>
    <row r="47" spans="1:8" x14ac:dyDescent="0.25">
      <c r="C47" s="10"/>
      <c r="D47" s="10"/>
      <c r="E47" s="10"/>
      <c r="F47" s="10"/>
      <c r="G47" s="10"/>
      <c r="H47" s="10"/>
    </row>
    <row r="48" spans="1:8" x14ac:dyDescent="0.25">
      <c r="C48" s="10"/>
      <c r="D48" s="10"/>
      <c r="E48" s="10"/>
      <c r="F48" s="10"/>
      <c r="G48" s="10"/>
      <c r="H48" s="10"/>
    </row>
    <row r="49" spans="3:8" x14ac:dyDescent="0.25">
      <c r="C49" s="10"/>
      <c r="D49" s="10"/>
      <c r="E49" s="10"/>
      <c r="F49" s="10"/>
      <c r="G49" s="10"/>
      <c r="H49" s="10"/>
    </row>
    <row r="50" spans="3:8" x14ac:dyDescent="0.25">
      <c r="C50" s="10"/>
      <c r="D50" s="10"/>
      <c r="E50" s="10"/>
      <c r="F50" s="10"/>
      <c r="G50" s="10"/>
      <c r="H50" s="10"/>
    </row>
    <row r="51" spans="3:8" x14ac:dyDescent="0.25">
      <c r="C51" s="10"/>
      <c r="D51" s="10"/>
      <c r="E51" s="10"/>
      <c r="F51" s="10"/>
      <c r="G51" s="10"/>
      <c r="H51" s="10"/>
    </row>
    <row r="52" spans="3:8" x14ac:dyDescent="0.25">
      <c r="C52" s="10"/>
      <c r="D52" s="10"/>
      <c r="E52" s="10"/>
      <c r="F52" s="10"/>
      <c r="G52" s="10"/>
      <c r="H52" s="10"/>
    </row>
    <row r="53" spans="3:8" x14ac:dyDescent="0.25">
      <c r="C53" s="10"/>
      <c r="D53" s="10"/>
      <c r="E53" s="10"/>
      <c r="F53" s="10"/>
      <c r="G53" s="10"/>
      <c r="H53" s="10"/>
    </row>
    <row r="54" spans="3:8" x14ac:dyDescent="0.25">
      <c r="C54" s="10"/>
      <c r="D54" s="10"/>
      <c r="E54" s="10"/>
      <c r="F54" s="10"/>
      <c r="G54" s="10"/>
      <c r="H54" s="10"/>
    </row>
    <row r="55" spans="3:8" x14ac:dyDescent="0.25">
      <c r="C55" s="10"/>
      <c r="D55" s="10"/>
      <c r="E55" s="10"/>
      <c r="F55" s="10"/>
      <c r="G55" s="10"/>
      <c r="H55" s="10"/>
    </row>
    <row r="56" spans="3:8" x14ac:dyDescent="0.25">
      <c r="C56" s="10"/>
      <c r="D56" s="10"/>
      <c r="E56" s="10"/>
      <c r="F56" s="10"/>
      <c r="G56" s="10"/>
      <c r="H56" s="10"/>
    </row>
    <row r="57" spans="3:8" hidden="1" x14ac:dyDescent="0.25">
      <c r="C57" s="10"/>
      <c r="D57" s="10"/>
      <c r="E57" s="10"/>
      <c r="F57" s="10"/>
      <c r="G57" s="10"/>
      <c r="H57" s="10"/>
    </row>
    <row r="58" spans="3:8" x14ac:dyDescent="0.25"/>
  </sheetData>
  <sheetProtection algorithmName="SHA-512" hashValue="2hoLIof3FHD2aja0/NIv2wl79/RxlnsFCYE6gIv36Ikics3+wjX6vGZOMYaV6rS7vS+eYIgewPTwzQ9tpcBxng==" saltValue="r3OSR6M+2mQFN5KuZ09o+A==" spinCount="100000" sheet="1" objects="1" scenarios="1"/>
  <mergeCells count="8">
    <mergeCell ref="C17:H18"/>
    <mergeCell ref="C30:H31"/>
    <mergeCell ref="C2:H2"/>
    <mergeCell ref="C5:H6"/>
    <mergeCell ref="C13:G13"/>
    <mergeCell ref="C15:H15"/>
    <mergeCell ref="C3:H3"/>
    <mergeCell ref="E35:G35"/>
  </mergeCells>
  <dataValidations count="1">
    <dataValidation type="list" allowBlank="1" showInputMessage="1" showErrorMessage="1" sqref="E9" xr:uid="{313F9A6C-A941-4D3B-8BF1-18FDD0797F4D}">
      <formula1>"Conservador, Moderado, Agressivo"</formula1>
    </dataValidation>
  </dataValidations>
  <hyperlinks>
    <hyperlink ref="C13:G13" location="Informações!A1" display="* O cálculo do rendimento mensal médio da carteira é estimado com base no retorno do índice IFIX. Clique aqui e saiba mais" xr:uid="{4855E030-BE63-44DE-AC19-0B357ABCE2AF}"/>
  </hyperlinks>
  <pageMargins left="0.7" right="0.7" top="0.75" bottom="0.75" header="0.3" footer="0.3"/>
  <pageSetup paperSize="9" orientation="portrait" r:id="rId1"/>
  <ignoredErrors>
    <ignoredError sqref="D35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06FA4A-62AC-4DCA-A4D5-5BBDCA75164E}">
          <x14:formula1>
            <xm:f>Tabelas_aux!$G$3:$G$42</xm:f>
          </x14:formula1>
          <xm:sqref>E10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74E5-124B-4AF9-807C-D7C30A53AE53}">
  <dimension ref="A1:K46"/>
  <sheetViews>
    <sheetView showGridLines="0" workbookViewId="0"/>
  </sheetViews>
  <sheetFormatPr defaultColWidth="0" defaultRowHeight="15" zeroHeight="1" x14ac:dyDescent="0.25"/>
  <cols>
    <col min="1" max="1" width="9.140625" customWidth="1"/>
    <col min="2" max="2" width="26.28515625" customWidth="1"/>
    <col min="3" max="3" width="29.28515625" customWidth="1"/>
    <col min="4" max="4" width="45.42578125" customWidth="1"/>
    <col min="5" max="5" width="9.140625" customWidth="1"/>
    <col min="6" max="7" width="9.140625" hidden="1" customWidth="1"/>
    <col min="8" max="11" width="0" hidden="1" customWidth="1"/>
    <col min="12" max="16384" width="9.140625" hidden="1"/>
  </cols>
  <sheetData>
    <row r="1" spans="2:11" x14ac:dyDescent="0.25"/>
    <row r="2" spans="2:11" s="18" customFormat="1" ht="16.5" x14ac:dyDescent="0.3">
      <c r="B2" s="44" t="s">
        <v>58</v>
      </c>
      <c r="C2" s="44"/>
      <c r="D2" s="44"/>
    </row>
    <row r="3" spans="2:11" s="18" customFormat="1" ht="16.5" x14ac:dyDescent="0.3">
      <c r="B3" s="44"/>
      <c r="C3" s="44"/>
      <c r="D3" s="44"/>
    </row>
    <row r="4" spans="2:11" s="18" customFormat="1" ht="24" x14ac:dyDescent="0.3">
      <c r="B4" s="20"/>
      <c r="C4" s="20"/>
      <c r="D4" s="20"/>
    </row>
    <row r="5" spans="2:11" s="18" customFormat="1" ht="15" customHeight="1" x14ac:dyDescent="0.3">
      <c r="B5" s="43" t="s">
        <v>59</v>
      </c>
      <c r="C5" s="43"/>
      <c r="D5" s="43"/>
      <c r="E5" s="19"/>
      <c r="F5" s="19"/>
      <c r="G5" s="19"/>
      <c r="H5" s="19"/>
      <c r="I5" s="19"/>
      <c r="J5" s="19"/>
      <c r="K5" s="19"/>
    </row>
    <row r="6" spans="2:11" s="18" customFormat="1" ht="16.5" x14ac:dyDescent="0.3">
      <c r="B6" s="43"/>
      <c r="C6" s="43"/>
      <c r="D6" s="43"/>
      <c r="E6" s="19"/>
      <c r="F6" s="19"/>
      <c r="G6" s="19"/>
      <c r="H6" s="19"/>
      <c r="I6" s="19"/>
      <c r="J6" s="19"/>
      <c r="K6" s="19"/>
    </row>
    <row r="7" spans="2:11" s="18" customFormat="1" ht="16.5" x14ac:dyDescent="0.3">
      <c r="B7" s="43"/>
      <c r="C7" s="43"/>
      <c r="D7" s="43"/>
      <c r="E7" s="19"/>
      <c r="F7" s="19"/>
      <c r="G7" s="19"/>
      <c r="H7" s="19"/>
      <c r="I7" s="19"/>
      <c r="J7" s="19"/>
      <c r="K7" s="19"/>
    </row>
    <row r="8" spans="2:11" s="18" customFormat="1" ht="16.5" x14ac:dyDescent="0.3">
      <c r="B8" s="43"/>
      <c r="C8" s="43"/>
      <c r="D8" s="43"/>
      <c r="E8" s="19"/>
      <c r="F8" s="19"/>
      <c r="G8" s="19"/>
      <c r="H8" s="19"/>
      <c r="I8" s="19"/>
      <c r="J8" s="19"/>
      <c r="K8" s="19"/>
    </row>
    <row r="9" spans="2:11" s="18" customFormat="1" ht="16.5" x14ac:dyDescent="0.3">
      <c r="B9" s="43"/>
      <c r="C9" s="43"/>
      <c r="D9" s="43"/>
      <c r="E9" s="19"/>
      <c r="F9" s="19"/>
      <c r="G9" s="19"/>
      <c r="H9" s="19"/>
      <c r="I9" s="19"/>
      <c r="J9" s="19"/>
      <c r="K9" s="19"/>
    </row>
    <row r="10" spans="2:11" s="18" customFormat="1" ht="16.5" x14ac:dyDescent="0.3">
      <c r="B10" s="43"/>
      <c r="C10" s="43"/>
      <c r="D10" s="43"/>
      <c r="E10" s="19"/>
      <c r="F10" s="19"/>
      <c r="G10" s="19"/>
      <c r="H10" s="19"/>
      <c r="I10" s="19"/>
      <c r="J10" s="19"/>
      <c r="K10" s="19"/>
    </row>
    <row r="11" spans="2:11" s="18" customFormat="1" ht="16.5" x14ac:dyDescent="0.3">
      <c r="B11" s="43"/>
      <c r="C11" s="43"/>
      <c r="D11" s="43"/>
      <c r="E11" s="19"/>
      <c r="F11" s="19"/>
      <c r="G11" s="19"/>
      <c r="H11" s="19"/>
      <c r="I11" s="19"/>
      <c r="J11" s="19"/>
      <c r="K11" s="19"/>
    </row>
    <row r="12" spans="2:11" s="18" customFormat="1" ht="32.450000000000003" customHeight="1" thickBot="1" x14ac:dyDescent="0.35">
      <c r="B12" s="21" t="s">
        <v>18</v>
      </c>
      <c r="C12" s="21" t="s">
        <v>19</v>
      </c>
      <c r="D12" s="22" t="s">
        <v>20</v>
      </c>
    </row>
    <row r="13" spans="2:11" s="18" customFormat="1" ht="32.450000000000003" customHeight="1" thickBot="1" x14ac:dyDescent="0.35">
      <c r="B13" s="23" t="s">
        <v>21</v>
      </c>
      <c r="C13" s="23" t="s">
        <v>22</v>
      </c>
      <c r="D13" s="24" t="s">
        <v>23</v>
      </c>
    </row>
    <row r="14" spans="2:11" s="18" customFormat="1" ht="32.450000000000003" customHeight="1" thickBot="1" x14ac:dyDescent="0.35">
      <c r="B14" s="23" t="s">
        <v>24</v>
      </c>
      <c r="C14" s="23" t="s">
        <v>25</v>
      </c>
      <c r="D14" s="24" t="s">
        <v>26</v>
      </c>
    </row>
    <row r="15" spans="2:11" s="18" customFormat="1" ht="32.450000000000003" customHeight="1" thickBot="1" x14ac:dyDescent="0.35">
      <c r="B15" s="23" t="s">
        <v>27</v>
      </c>
      <c r="C15" s="23" t="s">
        <v>28</v>
      </c>
      <c r="D15" s="24" t="s">
        <v>29</v>
      </c>
    </row>
    <row r="16" spans="2:11" s="18" customFormat="1" ht="32.450000000000003" customHeight="1" thickBot="1" x14ac:dyDescent="0.35">
      <c r="B16" s="23" t="s">
        <v>30</v>
      </c>
      <c r="C16" s="23" t="s">
        <v>31</v>
      </c>
      <c r="D16" s="24" t="s">
        <v>32</v>
      </c>
    </row>
    <row r="17" spans="2:4" s="18" customFormat="1" ht="32.450000000000003" customHeight="1" thickBot="1" x14ac:dyDescent="0.35">
      <c r="B17" s="23" t="s">
        <v>33</v>
      </c>
      <c r="C17" s="23" t="s">
        <v>34</v>
      </c>
      <c r="D17" s="24" t="s">
        <v>35</v>
      </c>
    </row>
    <row r="18" spans="2:4" s="18" customFormat="1" ht="32.450000000000003" customHeight="1" x14ac:dyDescent="0.3">
      <c r="B18" s="25" t="s">
        <v>36</v>
      </c>
      <c r="C18" s="25" t="s">
        <v>37</v>
      </c>
      <c r="D18" s="26" t="s">
        <v>38</v>
      </c>
    </row>
    <row r="19" spans="2:4" s="18" customFormat="1" ht="16.5" x14ac:dyDescent="0.3">
      <c r="B19" s="10"/>
      <c r="C19" s="10"/>
      <c r="D19" s="10"/>
    </row>
    <row r="20" spans="2:4" s="18" customFormat="1" ht="16.5" x14ac:dyDescent="0.3">
      <c r="B20" s="43" t="s">
        <v>60</v>
      </c>
      <c r="C20" s="43"/>
      <c r="D20" s="43"/>
    </row>
    <row r="21" spans="2:4" s="18" customFormat="1" ht="16.5" x14ac:dyDescent="0.3">
      <c r="B21" s="43"/>
      <c r="C21" s="43"/>
      <c r="D21" s="43"/>
    </row>
    <row r="22" spans="2:4" s="18" customFormat="1" ht="16.5" x14ac:dyDescent="0.3">
      <c r="B22" s="43"/>
      <c r="C22" s="43"/>
      <c r="D22" s="43"/>
    </row>
    <row r="23" spans="2:4" s="18" customFormat="1" ht="16.5" x14ac:dyDescent="0.3">
      <c r="B23" s="43"/>
      <c r="C23" s="43"/>
      <c r="D23" s="43"/>
    </row>
    <row r="24" spans="2:4" s="18" customFormat="1" ht="16.5" x14ac:dyDescent="0.3">
      <c r="B24" s="43"/>
      <c r="C24" s="43"/>
      <c r="D24" s="43"/>
    </row>
    <row r="25" spans="2:4" s="18" customFormat="1" ht="16.5" x14ac:dyDescent="0.3">
      <c r="B25" s="43"/>
      <c r="C25" s="43"/>
      <c r="D25" s="43"/>
    </row>
    <row r="26" spans="2:4" s="18" customFormat="1" ht="16.5" x14ac:dyDescent="0.3">
      <c r="B26" s="43"/>
      <c r="C26" s="43"/>
      <c r="D26" s="43"/>
    </row>
    <row r="27" spans="2:4" s="18" customFormat="1" ht="16.5" x14ac:dyDescent="0.3">
      <c r="B27" s="43"/>
      <c r="C27" s="43"/>
      <c r="D27" s="43"/>
    </row>
    <row r="28" spans="2:4" s="18" customFormat="1" ht="16.5" x14ac:dyDescent="0.3">
      <c r="B28" s="43"/>
      <c r="C28" s="43"/>
      <c r="D28" s="43"/>
    </row>
    <row r="29" spans="2:4" s="18" customFormat="1" ht="16.5" x14ac:dyDescent="0.3">
      <c r="B29" s="43"/>
      <c r="C29" s="43"/>
      <c r="D29" s="43"/>
    </row>
    <row r="30" spans="2:4" s="18" customFormat="1" ht="16.5" x14ac:dyDescent="0.3">
      <c r="B30" s="43"/>
      <c r="C30" s="43"/>
      <c r="D30" s="43"/>
    </row>
    <row r="31" spans="2:4" s="18" customFormat="1" ht="16.5" x14ac:dyDescent="0.3">
      <c r="B31" s="43"/>
      <c r="C31" s="43"/>
      <c r="D31" s="43"/>
    </row>
    <row r="32" spans="2:4" s="18" customFormat="1" ht="16.5" x14ac:dyDescent="0.3"/>
    <row r="45" x14ac:dyDescent="0.25"/>
    <row r="46" x14ac:dyDescent="0.25"/>
  </sheetData>
  <sheetProtection algorithmName="SHA-512" hashValue="i8vj/O2QScoGHeXhGne/Yn9TZ8ano8oWTWrAAiZOjwKosk8N5TP2klzv28oS2jIKyD+DlbV/asBeD+c6SHXp2w==" saltValue="M1Jd3xI2rsj1BqVUs4VyOA==" spinCount="100000" sheet="1" objects="1" scenarios="1"/>
  <mergeCells count="3">
    <mergeCell ref="B5:D11"/>
    <mergeCell ref="B20:D31"/>
    <mergeCell ref="B2:D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6D2A-64FF-4FA6-A773-22874564DD4E}">
  <dimension ref="B2:I42"/>
  <sheetViews>
    <sheetView showGridLines="0" workbookViewId="0"/>
  </sheetViews>
  <sheetFormatPr defaultRowHeight="15" x14ac:dyDescent="0.25"/>
  <cols>
    <col min="2" max="2" width="35.5703125" bestFit="1" customWidth="1"/>
    <col min="3" max="3" width="12.140625" bestFit="1" customWidth="1"/>
    <col min="4" max="4" width="23.28515625" bestFit="1" customWidth="1"/>
    <col min="5" max="5" width="4.5703125" bestFit="1" customWidth="1"/>
    <col min="7" max="7" width="5.42578125" bestFit="1" customWidth="1"/>
    <col min="8" max="8" width="11.7109375" bestFit="1" customWidth="1"/>
    <col min="9" max="9" width="13.28515625" bestFit="1" customWidth="1"/>
  </cols>
  <sheetData>
    <row r="2" spans="2:9" x14ac:dyDescent="0.25">
      <c r="B2" s="4" t="s">
        <v>8</v>
      </c>
      <c r="C2" s="4" t="s">
        <v>2</v>
      </c>
      <c r="D2" s="5" t="s">
        <v>4</v>
      </c>
      <c r="E2" s="5" t="s">
        <v>9</v>
      </c>
      <c r="G2" t="s">
        <v>14</v>
      </c>
      <c r="H2" t="s">
        <v>15</v>
      </c>
      <c r="I2" t="s">
        <v>16</v>
      </c>
    </row>
    <row r="3" spans="2:9" x14ac:dyDescent="0.25">
      <c r="B3" s="4" t="str">
        <f>C3&amp;"-"&amp;D3</f>
        <v>Conservador-FIIs de Papel</v>
      </c>
      <c r="C3" s="4" t="s">
        <v>10</v>
      </c>
      <c r="D3" s="5" t="s">
        <v>41</v>
      </c>
      <c r="E3" s="6">
        <v>0.3</v>
      </c>
      <c r="G3">
        <v>1</v>
      </c>
      <c r="H3" s="2">
        <v>0.18640000000000001</v>
      </c>
      <c r="I3" s="3">
        <f>(H3+1)^(1/12)-1</f>
        <v>1.4345549773914446E-2</v>
      </c>
    </row>
    <row r="4" spans="2:9" x14ac:dyDescent="0.25">
      <c r="B4" s="4" t="str">
        <f t="shared" ref="B4:B20" si="0">C4&amp;"-"&amp;D4</f>
        <v>Conservador-FIIs de Tijolo</v>
      </c>
      <c r="C4" s="4" t="s">
        <v>10</v>
      </c>
      <c r="D4" s="5" t="s">
        <v>42</v>
      </c>
      <c r="E4" s="6">
        <v>0.5</v>
      </c>
      <c r="G4">
        <v>2</v>
      </c>
      <c r="H4" s="2">
        <f>AVERAGE(H3,H5)</f>
        <v>0.16070000000000001</v>
      </c>
      <c r="I4" s="3">
        <f t="shared" ref="I4:I42" si="1">(H4+1)^(1/12)-1</f>
        <v>1.2496037032953655E-2</v>
      </c>
    </row>
    <row r="5" spans="2:9" x14ac:dyDescent="0.25">
      <c r="B5" s="4" t="str">
        <f t="shared" si="0"/>
        <v>Conservador-FIIs Híbridos</v>
      </c>
      <c r="C5" s="4" t="s">
        <v>10</v>
      </c>
      <c r="D5" s="5" t="s">
        <v>43</v>
      </c>
      <c r="E5" s="6">
        <v>0.1</v>
      </c>
      <c r="G5">
        <v>3</v>
      </c>
      <c r="H5" s="2">
        <v>0.13500000000000001</v>
      </c>
      <c r="I5" s="3">
        <f t="shared" si="1"/>
        <v>1.0608597246586804E-2</v>
      </c>
    </row>
    <row r="6" spans="2:9" x14ac:dyDescent="0.25">
      <c r="B6" s="4" t="str">
        <f t="shared" si="0"/>
        <v>Conservador-FOFs</v>
      </c>
      <c r="C6" s="4" t="s">
        <v>10</v>
      </c>
      <c r="D6" s="5" t="s">
        <v>7</v>
      </c>
      <c r="E6" s="6">
        <v>0.1</v>
      </c>
      <c r="G6">
        <v>4</v>
      </c>
      <c r="H6" s="2">
        <f>AVERAGE(H5,H7)</f>
        <v>0.1125</v>
      </c>
      <c r="I6" s="3">
        <f t="shared" si="1"/>
        <v>8.9237257287477778E-3</v>
      </c>
    </row>
    <row r="7" spans="2:9" x14ac:dyDescent="0.25">
      <c r="B7" s="4" t="str">
        <f t="shared" si="0"/>
        <v>Conservador-FIIs de Desenvolvimento</v>
      </c>
      <c r="C7" s="4" t="s">
        <v>10</v>
      </c>
      <c r="D7" s="5" t="s">
        <v>44</v>
      </c>
      <c r="E7" s="6">
        <v>0</v>
      </c>
      <c r="G7">
        <v>5</v>
      </c>
      <c r="H7" s="2">
        <v>0.09</v>
      </c>
      <c r="I7" s="3">
        <f t="shared" si="1"/>
        <v>7.2073233161367156E-3</v>
      </c>
    </row>
    <row r="8" spans="2:9" x14ac:dyDescent="0.25">
      <c r="B8" s="4" t="str">
        <f t="shared" si="0"/>
        <v>Conservador-FIIS de Hotelarias</v>
      </c>
      <c r="C8" s="4" t="s">
        <v>10</v>
      </c>
      <c r="D8" s="5" t="s">
        <v>45</v>
      </c>
      <c r="E8" s="6">
        <v>0</v>
      </c>
      <c r="G8">
        <v>6</v>
      </c>
      <c r="H8" s="2">
        <v>9.2999999999999999E-2</v>
      </c>
      <c r="I8" s="3">
        <f t="shared" si="1"/>
        <v>7.4380432687306541E-3</v>
      </c>
    </row>
    <row r="9" spans="2:9" x14ac:dyDescent="0.25">
      <c r="B9" s="4" t="str">
        <f t="shared" si="0"/>
        <v>Moderado-FIIs de Papel</v>
      </c>
      <c r="C9" s="4" t="s">
        <v>3</v>
      </c>
      <c r="D9" s="5" t="s">
        <v>41</v>
      </c>
      <c r="E9" s="6">
        <v>0.32</v>
      </c>
      <c r="G9">
        <v>7</v>
      </c>
      <c r="H9" s="2">
        <v>9.6000000000000002E-2</v>
      </c>
      <c r="I9" s="3">
        <f t="shared" si="1"/>
        <v>7.6681834559830797E-3</v>
      </c>
    </row>
    <row r="10" spans="2:9" x14ac:dyDescent="0.25">
      <c r="B10" s="4" t="str">
        <f t="shared" si="0"/>
        <v>Moderado-FIIs de Tijolo</v>
      </c>
      <c r="C10" s="4" t="s">
        <v>3</v>
      </c>
      <c r="D10" s="5" t="s">
        <v>42</v>
      </c>
      <c r="E10" s="6">
        <v>0.35</v>
      </c>
      <c r="G10">
        <v>8</v>
      </c>
      <c r="H10" s="2">
        <v>0.1</v>
      </c>
      <c r="I10" s="3">
        <f t="shared" si="1"/>
        <v>7.9741404289037643E-3</v>
      </c>
    </row>
    <row r="11" spans="2:9" x14ac:dyDescent="0.25">
      <c r="B11" s="4" t="str">
        <f t="shared" si="0"/>
        <v>Moderado-FIIs Híbridos</v>
      </c>
      <c r="C11" s="4" t="s">
        <v>3</v>
      </c>
      <c r="D11" s="5" t="s">
        <v>43</v>
      </c>
      <c r="E11" s="6">
        <v>0.08</v>
      </c>
      <c r="G11">
        <v>9</v>
      </c>
      <c r="H11" s="2">
        <v>0.10249999999999999</v>
      </c>
      <c r="I11" s="3">
        <f t="shared" si="1"/>
        <v>8.1648460519010424E-3</v>
      </c>
    </row>
    <row r="12" spans="2:9" x14ac:dyDescent="0.25">
      <c r="B12" s="4" t="str">
        <f t="shared" si="0"/>
        <v>Moderado-FOFs</v>
      </c>
      <c r="C12" s="4" t="s">
        <v>3</v>
      </c>
      <c r="D12" s="5" t="s">
        <v>7</v>
      </c>
      <c r="E12" s="6">
        <v>0.05</v>
      </c>
      <c r="G12">
        <v>10</v>
      </c>
      <c r="H12" s="2">
        <v>0.105</v>
      </c>
      <c r="I12" s="3">
        <f t="shared" si="1"/>
        <v>8.355155683635207E-3</v>
      </c>
    </row>
    <row r="13" spans="2:9" x14ac:dyDescent="0.25">
      <c r="B13" s="4" t="str">
        <f t="shared" si="0"/>
        <v>Moderado-FIIs de Desenvolvimento</v>
      </c>
      <c r="C13" s="4" t="s">
        <v>3</v>
      </c>
      <c r="D13" s="5" t="s">
        <v>44</v>
      </c>
      <c r="E13" s="6">
        <v>0.1</v>
      </c>
      <c r="G13">
        <v>11</v>
      </c>
      <c r="H13" s="2">
        <v>0.104</v>
      </c>
      <c r="I13" s="3">
        <f t="shared" si="1"/>
        <v>8.2790792398550472E-3</v>
      </c>
    </row>
    <row r="14" spans="2:9" x14ac:dyDescent="0.25">
      <c r="B14" s="4" t="str">
        <f t="shared" si="0"/>
        <v>Moderado-FIIS de Hotelarias</v>
      </c>
      <c r="C14" s="4" t="s">
        <v>3</v>
      </c>
      <c r="D14" s="5" t="s">
        <v>45</v>
      </c>
      <c r="E14" s="6">
        <v>0.1</v>
      </c>
      <c r="G14">
        <v>12</v>
      </c>
      <c r="H14" s="2">
        <v>0.10299999999999999</v>
      </c>
      <c r="I14" s="3">
        <f t="shared" si="1"/>
        <v>8.2029396024936307E-3</v>
      </c>
    </row>
    <row r="15" spans="2:9" x14ac:dyDescent="0.25">
      <c r="B15" s="4" t="str">
        <f t="shared" si="0"/>
        <v>Agressivo-FIIs de Papel</v>
      </c>
      <c r="C15" s="4" t="s">
        <v>11</v>
      </c>
      <c r="D15" s="5" t="s">
        <v>41</v>
      </c>
      <c r="E15" s="6">
        <v>0.5</v>
      </c>
      <c r="G15">
        <v>13</v>
      </c>
      <c r="H15" s="2">
        <v>0.10199999999999999</v>
      </c>
      <c r="I15" s="3">
        <f t="shared" si="1"/>
        <v>8.1267366616946113E-3</v>
      </c>
    </row>
    <row r="16" spans="2:9" x14ac:dyDescent="0.25">
      <c r="B16" s="4" t="str">
        <f t="shared" si="0"/>
        <v>Agressivo-FIIs de Tijolo</v>
      </c>
      <c r="C16" s="4" t="s">
        <v>11</v>
      </c>
      <c r="D16" s="5" t="s">
        <v>42</v>
      </c>
      <c r="E16" s="6">
        <v>0.1</v>
      </c>
      <c r="G16">
        <v>14</v>
      </c>
      <c r="H16" s="2">
        <v>0.10100000000000001</v>
      </c>
      <c r="I16" s="3">
        <f t="shared" si="1"/>
        <v>8.0504703073109862E-3</v>
      </c>
    </row>
    <row r="17" spans="2:9" x14ac:dyDescent="0.25">
      <c r="B17" s="4" t="str">
        <f t="shared" si="0"/>
        <v>Agressivo-FIIs Híbridos</v>
      </c>
      <c r="C17" s="4" t="s">
        <v>11</v>
      </c>
      <c r="D17" s="5" t="s">
        <v>43</v>
      </c>
      <c r="E17" s="6">
        <v>0.05</v>
      </c>
      <c r="G17">
        <v>15</v>
      </c>
      <c r="H17" s="2">
        <v>0.1</v>
      </c>
      <c r="I17" s="3">
        <f t="shared" si="1"/>
        <v>7.9741404289037643E-3</v>
      </c>
    </row>
    <row r="18" spans="2:9" x14ac:dyDescent="0.25">
      <c r="B18" s="4" t="str">
        <f t="shared" si="0"/>
        <v>Agressivo-FOFs</v>
      </c>
      <c r="C18" s="4" t="s">
        <v>11</v>
      </c>
      <c r="D18" s="5" t="s">
        <v>7</v>
      </c>
      <c r="E18" s="6">
        <v>0.05</v>
      </c>
      <c r="G18">
        <v>16</v>
      </c>
      <c r="H18" s="2">
        <v>0.1</v>
      </c>
      <c r="I18" s="3">
        <f t="shared" si="1"/>
        <v>7.9741404289037643E-3</v>
      </c>
    </row>
    <row r="19" spans="2:9" x14ac:dyDescent="0.25">
      <c r="B19" s="4" t="str">
        <f t="shared" si="0"/>
        <v>Agressivo-FIIs de Desenvolvimento</v>
      </c>
      <c r="C19" s="4" t="s">
        <v>11</v>
      </c>
      <c r="D19" s="5" t="s">
        <v>44</v>
      </c>
      <c r="E19" s="6">
        <v>0.2</v>
      </c>
      <c r="G19">
        <v>17</v>
      </c>
      <c r="H19" s="2">
        <v>0.1</v>
      </c>
      <c r="I19" s="3">
        <f t="shared" si="1"/>
        <v>7.9741404289037643E-3</v>
      </c>
    </row>
    <row r="20" spans="2:9" x14ac:dyDescent="0.25">
      <c r="B20" s="4" t="str">
        <f t="shared" si="0"/>
        <v>Agressivo-FIIS de Hotelarias</v>
      </c>
      <c r="C20" s="4" t="s">
        <v>11</v>
      </c>
      <c r="D20" s="5" t="s">
        <v>45</v>
      </c>
      <c r="E20" s="6">
        <v>0.1</v>
      </c>
      <c r="G20">
        <v>18</v>
      </c>
      <c r="H20" s="2">
        <v>0.1</v>
      </c>
      <c r="I20" s="3">
        <f t="shared" si="1"/>
        <v>7.9741404289037643E-3</v>
      </c>
    </row>
    <row r="21" spans="2:9" x14ac:dyDescent="0.25">
      <c r="G21">
        <v>19</v>
      </c>
      <c r="H21" s="2">
        <v>0.1</v>
      </c>
      <c r="I21" s="3">
        <f t="shared" si="1"/>
        <v>7.9741404289037643E-3</v>
      </c>
    </row>
    <row r="22" spans="2:9" x14ac:dyDescent="0.25">
      <c r="G22">
        <v>20</v>
      </c>
      <c r="H22" s="2">
        <v>0.1</v>
      </c>
      <c r="I22" s="3">
        <f t="shared" si="1"/>
        <v>7.9741404289037643E-3</v>
      </c>
    </row>
    <row r="23" spans="2:9" x14ac:dyDescent="0.25">
      <c r="G23">
        <v>21</v>
      </c>
      <c r="H23" s="2">
        <v>0.1</v>
      </c>
      <c r="I23" s="3">
        <f t="shared" si="1"/>
        <v>7.9741404289037643E-3</v>
      </c>
    </row>
    <row r="24" spans="2:9" x14ac:dyDescent="0.25">
      <c r="G24">
        <v>22</v>
      </c>
      <c r="H24" s="2">
        <v>0.1</v>
      </c>
      <c r="I24" s="3">
        <f t="shared" si="1"/>
        <v>7.9741404289037643E-3</v>
      </c>
    </row>
    <row r="25" spans="2:9" x14ac:dyDescent="0.25">
      <c r="G25">
        <v>23</v>
      </c>
      <c r="H25" s="2">
        <v>0.1</v>
      </c>
      <c r="I25" s="3">
        <f t="shared" si="1"/>
        <v>7.9741404289037643E-3</v>
      </c>
    </row>
    <row r="26" spans="2:9" x14ac:dyDescent="0.25">
      <c r="G26">
        <v>24</v>
      </c>
      <c r="H26" s="2">
        <v>0.1</v>
      </c>
      <c r="I26" s="3">
        <f t="shared" si="1"/>
        <v>7.9741404289037643E-3</v>
      </c>
    </row>
    <row r="27" spans="2:9" x14ac:dyDescent="0.25">
      <c r="G27">
        <v>25</v>
      </c>
      <c r="H27" s="2">
        <v>0.1</v>
      </c>
      <c r="I27" s="3">
        <f t="shared" si="1"/>
        <v>7.9741404289037643E-3</v>
      </c>
    </row>
    <row r="28" spans="2:9" x14ac:dyDescent="0.25">
      <c r="G28">
        <v>26</v>
      </c>
      <c r="H28" s="2">
        <v>0.1</v>
      </c>
      <c r="I28" s="3">
        <f t="shared" si="1"/>
        <v>7.9741404289037643E-3</v>
      </c>
    </row>
    <row r="29" spans="2:9" x14ac:dyDescent="0.25">
      <c r="G29">
        <v>27</v>
      </c>
      <c r="H29" s="2">
        <v>0.1</v>
      </c>
      <c r="I29" s="3">
        <f t="shared" si="1"/>
        <v>7.9741404289037643E-3</v>
      </c>
    </row>
    <row r="30" spans="2:9" x14ac:dyDescent="0.25">
      <c r="G30">
        <v>28</v>
      </c>
      <c r="H30" s="2">
        <v>0.1</v>
      </c>
      <c r="I30" s="3">
        <f t="shared" si="1"/>
        <v>7.9741404289037643E-3</v>
      </c>
    </row>
    <row r="31" spans="2:9" x14ac:dyDescent="0.25">
      <c r="G31">
        <v>29</v>
      </c>
      <c r="H31" s="2">
        <v>0.1</v>
      </c>
      <c r="I31" s="3">
        <f t="shared" si="1"/>
        <v>7.9741404289037643E-3</v>
      </c>
    </row>
    <row r="32" spans="2:9" x14ac:dyDescent="0.25">
      <c r="G32">
        <v>30</v>
      </c>
      <c r="H32" s="2">
        <v>0.1</v>
      </c>
      <c r="I32" s="3">
        <f t="shared" si="1"/>
        <v>7.9741404289037643E-3</v>
      </c>
    </row>
    <row r="33" spans="7:9" x14ac:dyDescent="0.25">
      <c r="G33">
        <v>31</v>
      </c>
      <c r="H33" s="2">
        <v>0.1</v>
      </c>
      <c r="I33" s="3">
        <f t="shared" si="1"/>
        <v>7.9741404289037643E-3</v>
      </c>
    </row>
    <row r="34" spans="7:9" x14ac:dyDescent="0.25">
      <c r="G34">
        <v>32</v>
      </c>
      <c r="H34" s="2">
        <v>0.1</v>
      </c>
      <c r="I34" s="3">
        <f t="shared" si="1"/>
        <v>7.9741404289037643E-3</v>
      </c>
    </row>
    <row r="35" spans="7:9" x14ac:dyDescent="0.25">
      <c r="G35">
        <v>33</v>
      </c>
      <c r="H35" s="2">
        <v>0.1</v>
      </c>
      <c r="I35" s="3">
        <f t="shared" si="1"/>
        <v>7.9741404289037643E-3</v>
      </c>
    </row>
    <row r="36" spans="7:9" x14ac:dyDescent="0.25">
      <c r="G36">
        <v>34</v>
      </c>
      <c r="H36" s="2">
        <v>0.1</v>
      </c>
      <c r="I36" s="3">
        <f t="shared" si="1"/>
        <v>7.9741404289037643E-3</v>
      </c>
    </row>
    <row r="37" spans="7:9" x14ac:dyDescent="0.25">
      <c r="G37">
        <v>35</v>
      </c>
      <c r="H37" s="2">
        <v>0.1</v>
      </c>
      <c r="I37" s="3">
        <f t="shared" si="1"/>
        <v>7.9741404289037643E-3</v>
      </c>
    </row>
    <row r="38" spans="7:9" x14ac:dyDescent="0.25">
      <c r="G38">
        <v>36</v>
      </c>
      <c r="H38" s="2">
        <v>0.1</v>
      </c>
      <c r="I38" s="3">
        <f t="shared" si="1"/>
        <v>7.9741404289037643E-3</v>
      </c>
    </row>
    <row r="39" spans="7:9" x14ac:dyDescent="0.25">
      <c r="G39">
        <v>37</v>
      </c>
      <c r="H39" s="2">
        <v>0.1</v>
      </c>
      <c r="I39" s="3">
        <f t="shared" si="1"/>
        <v>7.9741404289037643E-3</v>
      </c>
    </row>
    <row r="40" spans="7:9" x14ac:dyDescent="0.25">
      <c r="G40">
        <v>38</v>
      </c>
      <c r="H40" s="2">
        <v>0.1</v>
      </c>
      <c r="I40" s="3">
        <f t="shared" si="1"/>
        <v>7.9741404289037643E-3</v>
      </c>
    </row>
    <row r="41" spans="7:9" x14ac:dyDescent="0.25">
      <c r="G41">
        <v>39</v>
      </c>
      <c r="H41" s="2">
        <v>0.1</v>
      </c>
      <c r="I41" s="3">
        <f t="shared" si="1"/>
        <v>7.9741404289037643E-3</v>
      </c>
    </row>
    <row r="42" spans="7:9" x14ac:dyDescent="0.25">
      <c r="G42">
        <v>40</v>
      </c>
      <c r="H42" s="2">
        <v>0.1</v>
      </c>
      <c r="I42" s="3">
        <f t="shared" si="1"/>
        <v>7.9741404289037643E-3</v>
      </c>
    </row>
  </sheetData>
  <sheetProtection algorithmName="SHA-512" hashValue="kunnuoGH0bRYN29Zpzsj+8LeEPDrwJp9nQ83EjY3slqntTsUzSIoX5+PhIATa1sRlJIaK6MNJj/uHA7Jd8uipw==" saltValue="wmEIkCKeQxz1PLohXDrEYA==" spinCount="100000" sheet="1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Simulador</vt:lpstr>
      <vt:lpstr>Informações</vt:lpstr>
      <vt:lpstr>Tabelas_aux</vt:lpstr>
      <vt:lpstr>aporte</vt:lpstr>
      <vt:lpstr>patrimonio</vt:lpstr>
      <vt:lpstr>perfil</vt:lpstr>
      <vt:lpstr>qtd_anos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2025-12-26T21:11:55Z</dcterms:modified>
</cp:coreProperties>
</file>